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TU_MIREA\7 семестр\Методы помехозащищенного кодирования и сжатия информации\"/>
    </mc:Choice>
  </mc:AlternateContent>
  <xr:revisionPtr revIDLastSave="0" documentId="13_ncr:1_{A53A0C81-5DB7-48B5-8812-AD61CE8AC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1" sheetId="1" r:id="rId1"/>
    <sheet name="Задание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G3" i="2" s="1"/>
  <c r="S4" i="2"/>
  <c r="T4" i="2"/>
  <c r="U4" i="2"/>
  <c r="V4" i="2"/>
  <c r="W4" i="2"/>
  <c r="X4" i="2"/>
  <c r="Y4" i="2"/>
  <c r="Z4" i="2"/>
  <c r="S5" i="2"/>
  <c r="T5" i="2"/>
  <c r="U5" i="2"/>
  <c r="V5" i="2"/>
  <c r="W5" i="2"/>
  <c r="X5" i="2"/>
  <c r="Y5" i="2"/>
  <c r="Z5" i="2"/>
  <c r="S6" i="2"/>
  <c r="T6" i="2"/>
  <c r="U6" i="2"/>
  <c r="V6" i="2"/>
  <c r="W6" i="2"/>
  <c r="X6" i="2"/>
  <c r="Y6" i="2"/>
  <c r="Z6" i="2"/>
  <c r="S7" i="2"/>
  <c r="T7" i="2"/>
  <c r="U7" i="2"/>
  <c r="V7" i="2"/>
  <c r="W7" i="2"/>
  <c r="X7" i="2"/>
  <c r="Y7" i="2"/>
  <c r="Z7" i="2"/>
  <c r="S8" i="2"/>
  <c r="T8" i="2"/>
  <c r="U8" i="2"/>
  <c r="V8" i="2"/>
  <c r="W8" i="2"/>
  <c r="X8" i="2"/>
  <c r="Y8" i="2"/>
  <c r="Z8" i="2"/>
  <c r="S9" i="2"/>
  <c r="T9" i="2"/>
  <c r="U9" i="2"/>
  <c r="V9" i="2"/>
  <c r="W9" i="2"/>
  <c r="X9" i="2"/>
  <c r="Y9" i="2"/>
  <c r="Z9" i="2"/>
  <c r="S10" i="2"/>
  <c r="T10" i="2"/>
  <c r="U10" i="2"/>
  <c r="V10" i="2"/>
  <c r="W10" i="2"/>
  <c r="X10" i="2"/>
  <c r="Y10" i="2"/>
  <c r="Z10" i="2"/>
  <c r="S11" i="2"/>
  <c r="T11" i="2"/>
  <c r="U11" i="2"/>
  <c r="V11" i="2"/>
  <c r="W11" i="2"/>
  <c r="X11" i="2"/>
  <c r="Y11" i="2"/>
  <c r="Z11" i="2"/>
  <c r="S12" i="2"/>
  <c r="T12" i="2"/>
  <c r="U12" i="2"/>
  <c r="V12" i="2"/>
  <c r="W12" i="2"/>
  <c r="X12" i="2"/>
  <c r="Y12" i="2"/>
  <c r="Z12" i="2"/>
  <c r="S13" i="2"/>
  <c r="T13" i="2"/>
  <c r="U13" i="2"/>
  <c r="V13" i="2"/>
  <c r="W13" i="2"/>
  <c r="X13" i="2"/>
  <c r="Y13" i="2"/>
  <c r="Z13" i="2"/>
  <c r="S14" i="2"/>
  <c r="T14" i="2"/>
  <c r="U14" i="2"/>
  <c r="V14" i="2"/>
  <c r="W14" i="2"/>
  <c r="X14" i="2"/>
  <c r="Y14" i="2"/>
  <c r="Z14" i="2"/>
  <c r="S15" i="2"/>
  <c r="T15" i="2"/>
  <c r="U15" i="2"/>
  <c r="V15" i="2"/>
  <c r="W15" i="2"/>
  <c r="X15" i="2"/>
  <c r="Y15" i="2"/>
  <c r="Z15" i="2"/>
  <c r="S16" i="2"/>
  <c r="T16" i="2"/>
  <c r="U16" i="2"/>
  <c r="V16" i="2"/>
  <c r="W16" i="2"/>
  <c r="X16" i="2"/>
  <c r="Y16" i="2"/>
  <c r="Z16" i="2"/>
  <c r="S17" i="2"/>
  <c r="T17" i="2"/>
  <c r="U17" i="2"/>
  <c r="V17" i="2"/>
  <c r="W17" i="2"/>
  <c r="X17" i="2"/>
  <c r="Y17" i="2"/>
  <c r="Z17" i="2"/>
  <c r="S18" i="2"/>
  <c r="T18" i="2"/>
  <c r="U18" i="2"/>
  <c r="V18" i="2"/>
  <c r="W18" i="2"/>
  <c r="X18" i="2"/>
  <c r="Y18" i="2"/>
  <c r="Z18" i="2"/>
  <c r="T3" i="2"/>
  <c r="U3" i="2"/>
  <c r="V3" i="2"/>
  <c r="W3" i="2"/>
  <c r="X3" i="2"/>
  <c r="Y3" i="2"/>
  <c r="Z3" i="2"/>
  <c r="S3" i="2"/>
  <c r="AC4" i="2"/>
  <c r="AF4" i="2" s="1"/>
  <c r="AG4" i="2" l="1"/>
  <c r="AH4" i="2"/>
  <c r="AI3" i="2"/>
  <c r="AH3" i="2"/>
  <c r="AI4" i="2"/>
  <c r="AA5" i="2"/>
  <c r="AA4" i="2"/>
  <c r="AA3" i="2"/>
  <c r="AC5" i="2"/>
  <c r="AF5" i="2" s="1"/>
  <c r="AJ4" i="2" l="1"/>
  <c r="AJ3" i="2"/>
  <c r="AG5" i="2"/>
  <c r="AH5" i="2"/>
  <c r="AI5" i="2"/>
  <c r="AA7" i="2"/>
  <c r="AA6" i="2"/>
  <c r="AC6" i="2"/>
  <c r="AF6" i="2" s="1"/>
  <c r="AJ5" i="2" l="1"/>
  <c r="AG6" i="2"/>
  <c r="AH6" i="2"/>
  <c r="AI6" i="2"/>
  <c r="AJ6" i="2" s="1"/>
  <c r="AA8" i="2"/>
  <c r="AC7" i="2"/>
  <c r="AF7" i="2" s="1"/>
  <c r="AG7" i="2" l="1"/>
  <c r="AH7" i="2"/>
  <c r="AI7" i="2"/>
  <c r="AA9" i="2"/>
  <c r="AC8" i="2"/>
  <c r="AF8" i="2" s="1"/>
  <c r="AJ7" i="2" l="1"/>
  <c r="AG8" i="2"/>
  <c r="AH8" i="2"/>
  <c r="AI8" i="2"/>
  <c r="AA10" i="2"/>
  <c r="AC9" i="2"/>
  <c r="AF9" i="2" s="1"/>
  <c r="AJ8" i="2" l="1"/>
  <c r="AI9" i="2"/>
  <c r="AG9" i="2"/>
  <c r="AH9" i="2"/>
  <c r="AA11" i="2"/>
  <c r="AC10" i="2"/>
  <c r="AF10" i="2" s="1"/>
  <c r="AJ9" i="2" l="1"/>
  <c r="AG10" i="2"/>
  <c r="AH10" i="2"/>
  <c r="AI10" i="2"/>
  <c r="AA12" i="2"/>
  <c r="AC11" i="2"/>
  <c r="AF11" i="2" s="1"/>
  <c r="AH11" i="2" l="1"/>
  <c r="AI11" i="2"/>
  <c r="AG11" i="2"/>
  <c r="AJ10" i="2"/>
  <c r="AA13" i="2"/>
  <c r="AJ11" i="2" l="1"/>
  <c r="AA14" i="2"/>
  <c r="AA15" i="2" l="1"/>
  <c r="AA16" i="2" l="1"/>
  <c r="AA17" i="2" l="1"/>
  <c r="D5" i="1"/>
  <c r="D6" i="1"/>
  <c r="D7" i="1"/>
  <c r="D8" i="1"/>
  <c r="D9" i="1"/>
  <c r="D10" i="1"/>
  <c r="D11" i="1"/>
  <c r="D12" i="1"/>
  <c r="D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C4" i="1"/>
  <c r="B4" i="1"/>
  <c r="A5" i="1"/>
  <c r="A6" i="1" s="1"/>
  <c r="A7" i="1" s="1"/>
  <c r="A8" i="1" s="1"/>
  <c r="A9" i="1" s="1"/>
  <c r="A10" i="1" s="1"/>
  <c r="A11" i="1" s="1"/>
  <c r="A12" i="1" s="1"/>
  <c r="AA18" i="2" l="1"/>
  <c r="AD6" i="2" l="1"/>
  <c r="AD8" i="2"/>
  <c r="AD11" i="2"/>
  <c r="AD5" i="2"/>
  <c r="AD10" i="2"/>
  <c r="AD14" i="2"/>
  <c r="AD7" i="2"/>
  <c r="AD3" i="2"/>
  <c r="AD4" i="2"/>
  <c r="AD9" i="2"/>
  <c r="AD15" i="2" l="1"/>
  <c r="AD16" i="2"/>
  <c r="AK3" i="2" s="1"/>
  <c r="AD12" i="2"/>
</calcChain>
</file>

<file path=xl/sharedStrings.xml><?xml version="1.0" encoding="utf-8"?>
<sst xmlns="http://schemas.openxmlformats.org/spreadsheetml/2006/main" count="26" uniqueCount="23">
  <si>
    <t>m</t>
  </si>
  <si>
    <t>n</t>
  </si>
  <si>
    <t>k</t>
  </si>
  <si>
    <t>Pи</t>
  </si>
  <si>
    <t>p=</t>
  </si>
  <si>
    <t>G=</t>
  </si>
  <si>
    <t>Вес</t>
  </si>
  <si>
    <t>n=</t>
  </si>
  <si>
    <t>k=</t>
  </si>
  <si>
    <t>d*=</t>
  </si>
  <si>
    <t>tо=</t>
  </si>
  <si>
    <t>tи=</t>
  </si>
  <si>
    <t>i</t>
  </si>
  <si>
    <t>Ai</t>
  </si>
  <si>
    <t>p^i</t>
  </si>
  <si>
    <t>q^(n-i)</t>
  </si>
  <si>
    <t>C^i_n</t>
  </si>
  <si>
    <t>C^i_n * p^i * q^(n-i)</t>
  </si>
  <si>
    <t>Инф. векторы</t>
  </si>
  <si>
    <t>Код. векторы</t>
  </si>
  <si>
    <t>m=</t>
  </si>
  <si>
    <t>r=</t>
  </si>
  <si>
    <t>контр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</si>
</sst>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  <charset val="204"/>
    </font>
    <font>
      <sz val="11"/>
      <name val="Aptos Narrow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D1D1D1"/>
      </patternFill>
    </fill>
    <fill>
      <patternFill patternType="solid">
        <fgColor rgb="FFD0D0D0"/>
        <bgColor rgb="FFD9D9D9"/>
      </patternFill>
    </fill>
    <fill>
      <patternFill patternType="solid">
        <fgColor rgb="FFFBE2D5"/>
        <bgColor rgb="FFD9D9D9"/>
      </patternFill>
    </fill>
    <fill>
      <patternFill patternType="solid">
        <fgColor rgb="FFC1F0C8"/>
        <bgColor rgb="FFCAEEFB"/>
      </patternFill>
    </fill>
    <fill>
      <patternFill patternType="solid">
        <fgColor rgb="FFCAEDFB"/>
        <bgColor rgb="FFCCFFFF"/>
      </patternFill>
    </fill>
    <fill>
      <patternFill patternType="solid">
        <fgColor rgb="FF83CCEB"/>
        <bgColor rgb="FF84E291"/>
      </patternFill>
    </fill>
    <fill>
      <patternFill patternType="solid">
        <fgColor rgb="FF4D93D9"/>
        <bgColor rgb="FF9999FF"/>
      </patternFill>
    </fill>
    <fill>
      <patternFill patternType="solid">
        <fgColor rgb="FF83E28E"/>
        <bgColor rgb="FF83CBEB"/>
      </patternFill>
    </fill>
    <fill>
      <patternFill patternType="solid">
        <fgColor rgb="FF47D359"/>
        <bgColor rgb="FF84E291"/>
      </patternFill>
    </fill>
    <fill>
      <patternFill patternType="solid">
        <fgColor rgb="FF00B050"/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2" fillId="0" borderId="0" xfId="0" applyFont="1"/>
    <xf numFmtId="0" fontId="2" fillId="6" borderId="2" xfId="0" applyFont="1" applyFill="1" applyBorder="1"/>
    <xf numFmtId="0" fontId="2" fillId="6" borderId="3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3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2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6" borderId="0" xfId="0" applyFont="1" applyFill="1"/>
    <xf numFmtId="0" fontId="3" fillId="16" borderId="0" xfId="0" applyFont="1" applyFill="1"/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4" x14ac:dyDescent="0.3"/>
  <cols>
    <col min="1" max="1" width="3" bestFit="1" customWidth="1"/>
    <col min="2" max="3" width="5" bestFit="1" customWidth="1"/>
    <col min="4" max="4" width="12" bestFit="1" customWidth="1"/>
  </cols>
  <sheetData>
    <row r="1" spans="1:4" x14ac:dyDescent="0.3">
      <c r="A1" t="s">
        <v>4</v>
      </c>
      <c r="B1">
        <v>0.06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>
        <v>2</v>
      </c>
      <c r="B4" s="3">
        <f>2^A4-1</f>
        <v>3</v>
      </c>
      <c r="C4" s="3">
        <f>2^A4-A4-1</f>
        <v>1</v>
      </c>
      <c r="D4" s="4">
        <f>(1-B$1)^B4+B4*B$1*(1-B$1)^(B4-1)</f>
        <v>0.98963199999999985</v>
      </c>
    </row>
    <row r="5" spans="1:4" x14ac:dyDescent="0.3">
      <c r="A5" s="2">
        <f>A4+1</f>
        <v>3</v>
      </c>
      <c r="B5" s="3">
        <f t="shared" ref="B5:B12" si="0">2^A5-1</f>
        <v>7</v>
      </c>
      <c r="C5" s="3">
        <f t="shared" ref="C5:C12" si="1">2^A5-A5-1</f>
        <v>4</v>
      </c>
      <c r="D5" s="4">
        <f t="shared" ref="D5:D12" si="2">(1-B$1)^B5+B5*B$1*(1-B$1)^(B5-1)</f>
        <v>0.93822290223615978</v>
      </c>
    </row>
    <row r="6" spans="1:4" x14ac:dyDescent="0.3">
      <c r="A6" s="2">
        <f t="shared" ref="A6:A12" si="3">A5+1</f>
        <v>4</v>
      </c>
      <c r="B6" s="3">
        <f t="shared" si="0"/>
        <v>15</v>
      </c>
      <c r="C6" s="3">
        <f t="shared" si="1"/>
        <v>11</v>
      </c>
      <c r="D6" s="4">
        <f t="shared" si="2"/>
        <v>0.77376266991256837</v>
      </c>
    </row>
    <row r="7" spans="1:4" x14ac:dyDescent="0.3">
      <c r="A7" s="2">
        <f t="shared" si="3"/>
        <v>5</v>
      </c>
      <c r="B7" s="3">
        <f t="shared" si="0"/>
        <v>31</v>
      </c>
      <c r="C7" s="3">
        <f t="shared" si="1"/>
        <v>26</v>
      </c>
      <c r="D7" s="4">
        <f t="shared" si="2"/>
        <v>0.43751569726666117</v>
      </c>
    </row>
    <row r="8" spans="1:4" x14ac:dyDescent="0.3">
      <c r="A8" s="2">
        <f t="shared" si="3"/>
        <v>6</v>
      </c>
      <c r="B8" s="3">
        <f t="shared" si="0"/>
        <v>63</v>
      </c>
      <c r="C8" s="3">
        <f t="shared" si="1"/>
        <v>57</v>
      </c>
      <c r="D8" s="4">
        <f t="shared" si="2"/>
        <v>0.10182840045415376</v>
      </c>
    </row>
    <row r="9" spans="1:4" x14ac:dyDescent="0.3">
      <c r="A9" s="2">
        <f t="shared" si="3"/>
        <v>7</v>
      </c>
      <c r="B9" s="3">
        <f t="shared" si="0"/>
        <v>127</v>
      </c>
      <c r="C9" s="3">
        <f t="shared" si="1"/>
        <v>120</v>
      </c>
      <c r="D9" s="4">
        <f t="shared" si="2"/>
        <v>3.5203295263080006E-3</v>
      </c>
    </row>
    <row r="10" spans="1:4" x14ac:dyDescent="0.3">
      <c r="A10" s="2">
        <f>A9+1</f>
        <v>8</v>
      </c>
      <c r="B10" s="3">
        <f t="shared" si="0"/>
        <v>255</v>
      </c>
      <c r="C10" s="3">
        <f t="shared" si="1"/>
        <v>247</v>
      </c>
      <c r="D10" s="4">
        <f t="shared" si="2"/>
        <v>2.4269500566378631E-6</v>
      </c>
    </row>
    <row r="11" spans="1:4" x14ac:dyDescent="0.3">
      <c r="A11" s="2">
        <f t="shared" si="3"/>
        <v>9</v>
      </c>
      <c r="B11" s="3">
        <f t="shared" si="0"/>
        <v>511</v>
      </c>
      <c r="C11" s="3">
        <f t="shared" si="1"/>
        <v>502</v>
      </c>
      <c r="D11" s="4">
        <f t="shared" si="2"/>
        <v>6.2358034574436805E-13</v>
      </c>
    </row>
    <row r="12" spans="1:4" x14ac:dyDescent="0.3">
      <c r="A12" s="2">
        <f t="shared" si="3"/>
        <v>10</v>
      </c>
      <c r="B12" s="3">
        <f t="shared" si="0"/>
        <v>1023</v>
      </c>
      <c r="C12" s="3">
        <f t="shared" si="1"/>
        <v>1013</v>
      </c>
      <c r="D12" s="4">
        <f t="shared" si="2"/>
        <v>2.1443408723111912E-26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DD9B-30C9-4570-907B-E8597836BE29}">
  <dimension ref="B2:AK18"/>
  <sheetViews>
    <sheetView workbookViewId="0"/>
  </sheetViews>
  <sheetFormatPr defaultColWidth="8.5546875" defaultRowHeight="14.4" x14ac:dyDescent="0.3"/>
  <cols>
    <col min="1" max="1" width="3.33203125" style="5" customWidth="1"/>
    <col min="2" max="2" width="3.5546875" style="5" bestFit="1" customWidth="1"/>
    <col min="3" max="3" width="5" style="5" bestFit="1" customWidth="1"/>
    <col min="4" max="4" width="2" style="5" customWidth="1"/>
    <col min="5" max="5" width="3.33203125" style="5" bestFit="1" customWidth="1"/>
    <col min="6" max="13" width="2" style="5" customWidth="1"/>
    <col min="14" max="14" width="4.109375" style="5" customWidth="1"/>
    <col min="15" max="26" width="2" style="5" bestFit="1" customWidth="1"/>
    <col min="27" max="27" width="4.109375" style="5" bestFit="1" customWidth="1"/>
    <col min="28" max="28" width="8.5546875" style="5"/>
    <col min="29" max="29" width="5.6640625" style="5" bestFit="1" customWidth="1"/>
    <col min="30" max="30" width="3" style="5" bestFit="1" customWidth="1"/>
    <col min="31" max="31" width="13.6640625" style="5" customWidth="1"/>
    <col min="32" max="32" width="2" style="5" bestFit="1" customWidth="1"/>
    <col min="33" max="34" width="12" style="5" bestFit="1" customWidth="1"/>
    <col min="35" max="35" width="5.44140625" style="5" bestFit="1" customWidth="1"/>
    <col min="36" max="36" width="16.5546875" style="5" bestFit="1" customWidth="1"/>
    <col min="37" max="37" width="12" style="5" bestFit="1" customWidth="1"/>
    <col min="38" max="16384" width="8.5546875" style="5"/>
  </cols>
  <sheetData>
    <row r="2" spans="2:37" x14ac:dyDescent="0.3">
      <c r="B2" s="13" t="s">
        <v>7</v>
      </c>
      <c r="C2" s="14">
        <v>8</v>
      </c>
      <c r="O2" s="21" t="s">
        <v>18</v>
      </c>
      <c r="P2" s="22"/>
      <c r="Q2" s="22"/>
      <c r="R2" s="23"/>
      <c r="S2" s="21" t="s">
        <v>19</v>
      </c>
      <c r="T2" s="22"/>
      <c r="U2" s="22"/>
      <c r="V2" s="22"/>
      <c r="W2" s="22"/>
      <c r="X2" s="22"/>
      <c r="Y2" s="22"/>
      <c r="Z2" s="23"/>
      <c r="AA2" s="8" t="s">
        <v>6</v>
      </c>
      <c r="AC2" s="17" t="s">
        <v>12</v>
      </c>
      <c r="AD2" s="17" t="s">
        <v>13</v>
      </c>
      <c r="AF2" s="9" t="s">
        <v>12</v>
      </c>
      <c r="AG2" s="9" t="s">
        <v>14</v>
      </c>
      <c r="AH2" s="9" t="s">
        <v>15</v>
      </c>
      <c r="AI2" s="9" t="s">
        <v>16</v>
      </c>
      <c r="AJ2" s="9" t="s">
        <v>17</v>
      </c>
      <c r="AK2" s="9" t="s">
        <v>3</v>
      </c>
    </row>
    <row r="3" spans="2:37" x14ac:dyDescent="0.3">
      <c r="B3" s="13" t="s">
        <v>8</v>
      </c>
      <c r="C3" s="14">
        <v>4</v>
      </c>
      <c r="E3" s="5" t="s">
        <v>5</v>
      </c>
      <c r="F3" s="6">
        <v>1</v>
      </c>
      <c r="G3" s="19">
        <v>1</v>
      </c>
      <c r="H3" s="19">
        <v>1</v>
      </c>
      <c r="I3" s="19">
        <v>1</v>
      </c>
      <c r="J3" s="19">
        <v>1</v>
      </c>
      <c r="K3" s="20">
        <v>1</v>
      </c>
      <c r="L3" s="19">
        <v>1</v>
      </c>
      <c r="M3" s="7">
        <v>1</v>
      </c>
      <c r="O3" s="10">
        <v>0</v>
      </c>
      <c r="P3" s="10">
        <v>0</v>
      </c>
      <c r="Q3" s="10">
        <v>0</v>
      </c>
      <c r="R3" s="10">
        <v>0</v>
      </c>
      <c r="S3" s="11">
        <f>MOD($O3*F$3+$P3*F$4+$Q3*F$5+$R3*F$6,2)</f>
        <v>0</v>
      </c>
      <c r="T3" s="11">
        <f>MOD($O3*G$3+$P3*G$4+$Q3*G$5+$R3*G$6,2)</f>
        <v>0</v>
      </c>
      <c r="U3" s="11">
        <f>MOD($O3*H$3+$P3*H$4+$Q3*H$5+$R3*H$6,2)</f>
        <v>0</v>
      </c>
      <c r="V3" s="11">
        <f>MOD($O3*I$3+$P3*I$4+$Q3*I$5+$R3*I$6,2)</f>
        <v>0</v>
      </c>
      <c r="W3" s="11">
        <f>MOD($O3*J$3+$P3*J$4+$Q3*J$5+$R3*J$6,2)</f>
        <v>0</v>
      </c>
      <c r="X3" s="11">
        <f>MOD($O3*K$3+$P3*K$4+$Q3*K$5+$R3*K$6,2)</f>
        <v>0</v>
      </c>
      <c r="Y3" s="11">
        <f>MOD($O3*L$3+$P3*L$4+$Q3*L$5+$R3*L$6,2)</f>
        <v>0</v>
      </c>
      <c r="Z3" s="11">
        <f>MOD($O3*M$3+$P3*M$4+$Q3*M$5+$R3*M$6,2)</f>
        <v>0</v>
      </c>
      <c r="AA3" s="12">
        <f>SUM(S3:Z3)</f>
        <v>0</v>
      </c>
      <c r="AC3" s="11">
        <v>0</v>
      </c>
      <c r="AD3" s="15">
        <f>COUNTIF(AA$3:AA$18,"=0")</f>
        <v>1</v>
      </c>
      <c r="AF3" s="11">
        <f>AC3</f>
        <v>0</v>
      </c>
      <c r="AG3" s="11">
        <f>IF(AND(AF3=0,C$4=0),1,C$4^AF3)</f>
        <v>1</v>
      </c>
      <c r="AH3" s="11">
        <f>(1-C$4)^(C$2-AF3)</f>
        <v>0.60956893854108152</v>
      </c>
      <c r="AI3" s="11">
        <f>COMBIN(C$2,AF3)</f>
        <v>1</v>
      </c>
      <c r="AJ3" s="11">
        <f>AI3*AG3*AH3</f>
        <v>0.60956893854108152</v>
      </c>
      <c r="AK3" s="18">
        <f>IF(AD16=0,0,SUM(AJ3:INDEX(AJ3:AJ11,1+AD16)))</f>
        <v>0.92083818375354864</v>
      </c>
    </row>
    <row r="4" spans="2:37" x14ac:dyDescent="0.3">
      <c r="B4" s="16" t="s">
        <v>4</v>
      </c>
      <c r="C4" s="14">
        <v>0.06</v>
      </c>
      <c r="F4" s="6">
        <v>0</v>
      </c>
      <c r="G4" s="19">
        <v>0</v>
      </c>
      <c r="H4" s="19">
        <v>0</v>
      </c>
      <c r="I4" s="19">
        <v>0</v>
      </c>
      <c r="J4" s="19">
        <v>1</v>
      </c>
      <c r="K4" s="20">
        <v>1</v>
      </c>
      <c r="L4" s="19">
        <v>1</v>
      </c>
      <c r="M4" s="7">
        <v>1</v>
      </c>
      <c r="O4" s="10">
        <v>0</v>
      </c>
      <c r="P4" s="10">
        <v>0</v>
      </c>
      <c r="Q4" s="10">
        <v>0</v>
      </c>
      <c r="R4" s="10">
        <v>1</v>
      </c>
      <c r="S4" s="11">
        <f>MOD($O4*F$3+$P4*F$4+$Q4*F$5+$R4*F$6,2)</f>
        <v>0</v>
      </c>
      <c r="T4" s="11">
        <f>MOD($O4*G$3+$P4*G$4+$Q4*G$5+$R4*G$6,2)</f>
        <v>1</v>
      </c>
      <c r="U4" s="11">
        <f>MOD($O4*H$3+$P4*H$4+$Q4*H$5+$R4*H$6,2)</f>
        <v>0</v>
      </c>
      <c r="V4" s="11">
        <f>MOD($O4*I$3+$P4*I$4+$Q4*I$5+$R4*I$6,2)</f>
        <v>1</v>
      </c>
      <c r="W4" s="11">
        <f>MOD($O4*J$3+$P4*J$4+$Q4*J$5+$R4*J$6,2)</f>
        <v>0</v>
      </c>
      <c r="X4" s="11">
        <f>MOD($O4*K$3+$P4*K$4+$Q4*K$5+$R4*K$6,2)</f>
        <v>1</v>
      </c>
      <c r="Y4" s="11">
        <f>MOD($O4*L$3+$P4*L$4+$Q4*L$5+$R4*L$6,2)</f>
        <v>0</v>
      </c>
      <c r="Z4" s="11">
        <f>MOD($O4*M$3+$P4*M$4+$Q4*M$5+$R4*M$6,2)</f>
        <v>1</v>
      </c>
      <c r="AA4" s="12">
        <f>SUM(S4:Z4)</f>
        <v>4</v>
      </c>
      <c r="AC4" s="11">
        <f>AC3+1</f>
        <v>1</v>
      </c>
      <c r="AD4" s="15">
        <f>COUNTIF(AA$3:AA$18,"=1")</f>
        <v>0</v>
      </c>
      <c r="AF4" s="11">
        <f>AC4</f>
        <v>1</v>
      </c>
      <c r="AG4" s="11">
        <f>IF(AND(AF4=0,C$4=0),1,C$4^AF4)</f>
        <v>0.06</v>
      </c>
      <c r="AH4" s="11">
        <f>(1-C$4)^(C$2-AF4)</f>
        <v>0.64847759419263984</v>
      </c>
      <c r="AI4" s="11">
        <f>COMBIN(C$2,AF4)</f>
        <v>8</v>
      </c>
      <c r="AJ4" s="11">
        <f>AI4*AG4*AH4</f>
        <v>0.31126924521246713</v>
      </c>
    </row>
    <row r="5" spans="2:37" x14ac:dyDescent="0.3">
      <c r="B5" s="16" t="s">
        <v>20</v>
      </c>
      <c r="C5" s="14">
        <v>4</v>
      </c>
      <c r="F5" s="6">
        <v>0</v>
      </c>
      <c r="G5" s="19">
        <v>0</v>
      </c>
      <c r="H5" s="19">
        <v>1</v>
      </c>
      <c r="I5" s="19">
        <v>1</v>
      </c>
      <c r="J5" s="19">
        <v>0</v>
      </c>
      <c r="K5" s="20">
        <v>0</v>
      </c>
      <c r="L5" s="19">
        <v>1</v>
      </c>
      <c r="M5" s="7">
        <v>1</v>
      </c>
      <c r="O5" s="10">
        <v>0</v>
      </c>
      <c r="P5" s="10">
        <v>0</v>
      </c>
      <c r="Q5" s="10">
        <v>1</v>
      </c>
      <c r="R5" s="10">
        <v>0</v>
      </c>
      <c r="S5" s="11">
        <f>MOD($O5*F$3+$P5*F$4+$Q5*F$5+$R5*F$6,2)</f>
        <v>0</v>
      </c>
      <c r="T5" s="11">
        <f>MOD($O5*G$3+$P5*G$4+$Q5*G$5+$R5*G$6,2)</f>
        <v>0</v>
      </c>
      <c r="U5" s="11">
        <f>MOD($O5*H$3+$P5*H$4+$Q5*H$5+$R5*H$6,2)</f>
        <v>1</v>
      </c>
      <c r="V5" s="11">
        <f>MOD($O5*I$3+$P5*I$4+$Q5*I$5+$R5*I$6,2)</f>
        <v>1</v>
      </c>
      <c r="W5" s="11">
        <f>MOD($O5*J$3+$P5*J$4+$Q5*J$5+$R5*J$6,2)</f>
        <v>0</v>
      </c>
      <c r="X5" s="11">
        <f>MOD($O5*K$3+$P5*K$4+$Q5*K$5+$R5*K$6,2)</f>
        <v>0</v>
      </c>
      <c r="Y5" s="11">
        <f>MOD($O5*L$3+$P5*L$4+$Q5*L$5+$R5*L$6,2)</f>
        <v>1</v>
      </c>
      <c r="Z5" s="11">
        <f>MOD($O5*M$3+$P5*M$4+$Q5*M$5+$R5*M$6,2)</f>
        <v>1</v>
      </c>
      <c r="AA5" s="12">
        <f>SUM(S5:Z5)</f>
        <v>4</v>
      </c>
      <c r="AC5" s="11">
        <f>AC4+1</f>
        <v>2</v>
      </c>
      <c r="AD5" s="15">
        <f>COUNTIF(AA$3:AA$18,"=2")</f>
        <v>0</v>
      </c>
      <c r="AF5" s="11">
        <f>AC5</f>
        <v>2</v>
      </c>
      <c r="AG5" s="11">
        <f>IF(AND(AF5=0,C$4=0),1,C$4^AF5)</f>
        <v>3.5999999999999999E-3</v>
      </c>
      <c r="AH5" s="11">
        <f>(1-C$4)^(C$2-AF5)</f>
        <v>0.68986978105599994</v>
      </c>
      <c r="AI5" s="11">
        <f>COMBIN(C$2,AF5)</f>
        <v>28</v>
      </c>
      <c r="AJ5" s="11">
        <f>AI5*AG5*AH5</f>
        <v>6.9538873930444792E-2</v>
      </c>
    </row>
    <row r="6" spans="2:37" x14ac:dyDescent="0.3">
      <c r="B6" s="16" t="s">
        <v>21</v>
      </c>
      <c r="C6" s="14">
        <v>1</v>
      </c>
      <c r="F6" s="6">
        <v>0</v>
      </c>
      <c r="G6" s="19">
        <v>1</v>
      </c>
      <c r="H6" s="19">
        <v>0</v>
      </c>
      <c r="I6" s="19">
        <v>1</v>
      </c>
      <c r="J6" s="19">
        <v>0</v>
      </c>
      <c r="K6" s="20">
        <v>1</v>
      </c>
      <c r="L6" s="19">
        <v>0</v>
      </c>
      <c r="M6" s="7">
        <v>1</v>
      </c>
      <c r="O6" s="10">
        <v>0</v>
      </c>
      <c r="P6" s="10">
        <v>0</v>
      </c>
      <c r="Q6" s="10">
        <v>1</v>
      </c>
      <c r="R6" s="10">
        <v>1</v>
      </c>
      <c r="S6" s="11">
        <f>MOD($O6*F$3+$P6*F$4+$Q6*F$5+$R6*F$6,2)</f>
        <v>0</v>
      </c>
      <c r="T6" s="11">
        <f>MOD($O6*G$3+$P6*G$4+$Q6*G$5+$R6*G$6,2)</f>
        <v>1</v>
      </c>
      <c r="U6" s="11">
        <f>MOD($O6*H$3+$P6*H$4+$Q6*H$5+$R6*H$6,2)</f>
        <v>1</v>
      </c>
      <c r="V6" s="11">
        <f>MOD($O6*I$3+$P6*I$4+$Q6*I$5+$R6*I$6,2)</f>
        <v>0</v>
      </c>
      <c r="W6" s="11">
        <f>MOD($O6*J$3+$P6*J$4+$Q6*J$5+$R6*J$6,2)</f>
        <v>0</v>
      </c>
      <c r="X6" s="11">
        <f>MOD($O6*K$3+$P6*K$4+$Q6*K$5+$R6*K$6,2)</f>
        <v>1</v>
      </c>
      <c r="Y6" s="11">
        <f>MOD($O6*L$3+$P6*L$4+$Q6*L$5+$R6*L$6,2)</f>
        <v>1</v>
      </c>
      <c r="Z6" s="11">
        <f>MOD($O6*M$3+$P6*M$4+$Q6*M$5+$R6*M$6,2)</f>
        <v>0</v>
      </c>
      <c r="AA6" s="12">
        <f>SUM(S6:Z6)</f>
        <v>4</v>
      </c>
      <c r="AC6" s="11">
        <f>AC5+1</f>
        <v>3</v>
      </c>
      <c r="AD6" s="15">
        <f>COUNTIF(AA$3:AA$18,"=3")</f>
        <v>0</v>
      </c>
      <c r="AF6" s="11">
        <f>AC6</f>
        <v>3</v>
      </c>
      <c r="AG6" s="11">
        <f>IF(AND(AF6=0,C$4=0),1,C$4^AF6)</f>
        <v>2.1599999999999999E-4</v>
      </c>
      <c r="AH6" s="11">
        <f>(1-C$4)^(C$2-AF6)</f>
        <v>0.73390402239999986</v>
      </c>
      <c r="AI6" s="11">
        <f>COMBIN(C$2,AF6)</f>
        <v>56</v>
      </c>
      <c r="AJ6" s="11">
        <f>AI6*AG6*AH6</f>
        <v>8.877303054950398E-3</v>
      </c>
    </row>
    <row r="7" spans="2:37" x14ac:dyDescent="0.3">
      <c r="O7" s="10">
        <v>0</v>
      </c>
      <c r="P7" s="10">
        <v>1</v>
      </c>
      <c r="Q7" s="10">
        <v>0</v>
      </c>
      <c r="R7" s="10">
        <v>0</v>
      </c>
      <c r="S7" s="11">
        <f>MOD($O7*F$3+$P7*F$4+$Q7*F$5+$R7*F$6,2)</f>
        <v>0</v>
      </c>
      <c r="T7" s="11">
        <f>MOD($O7*G$3+$P7*G$4+$Q7*G$5+$R7*G$6,2)</f>
        <v>0</v>
      </c>
      <c r="U7" s="11">
        <f>MOD($O7*H$3+$P7*H$4+$Q7*H$5+$R7*H$6,2)</f>
        <v>0</v>
      </c>
      <c r="V7" s="11">
        <f>MOD($O7*I$3+$P7*I$4+$Q7*I$5+$R7*I$6,2)</f>
        <v>0</v>
      </c>
      <c r="W7" s="11">
        <f>MOD($O7*J$3+$P7*J$4+$Q7*J$5+$R7*J$6,2)</f>
        <v>1</v>
      </c>
      <c r="X7" s="11">
        <f>MOD($O7*K$3+$P7*K$4+$Q7*K$5+$R7*K$6,2)</f>
        <v>1</v>
      </c>
      <c r="Y7" s="11">
        <f>MOD($O7*L$3+$P7*L$4+$Q7*L$5+$R7*L$6,2)</f>
        <v>1</v>
      </c>
      <c r="Z7" s="11">
        <f>MOD($O7*M$3+$P7*M$4+$Q7*M$5+$R7*M$6,2)</f>
        <v>1</v>
      </c>
      <c r="AA7" s="12">
        <f>SUM(S7:Z7)</f>
        <v>4</v>
      </c>
      <c r="AC7" s="11">
        <f>AC6+1</f>
        <v>4</v>
      </c>
      <c r="AD7" s="15">
        <f>COUNTIF(AA$3:AA$18,"=4")</f>
        <v>14</v>
      </c>
      <c r="AF7" s="11">
        <f>AC7</f>
        <v>4</v>
      </c>
      <c r="AG7" s="11">
        <f>IF(AND(AF7=0,C$4=0),1,C$4^AF7)</f>
        <v>1.296E-5</v>
      </c>
      <c r="AH7" s="11">
        <f>(1-C$4)^(C$2-AF7)</f>
        <v>0.78074895999999994</v>
      </c>
      <c r="AI7" s="11">
        <f>COMBIN(C$2,AF7)</f>
        <v>70</v>
      </c>
      <c r="AJ7" s="11">
        <f>AI7*AG7*AH7</f>
        <v>7.0829545651199992E-4</v>
      </c>
    </row>
    <row r="8" spans="2:37" x14ac:dyDescent="0.3">
      <c r="O8" s="10">
        <v>0</v>
      </c>
      <c r="P8" s="10">
        <v>1</v>
      </c>
      <c r="Q8" s="10">
        <v>0</v>
      </c>
      <c r="R8" s="10">
        <v>1</v>
      </c>
      <c r="S8" s="11">
        <f>MOD($O8*F$3+$P8*F$4+$Q8*F$5+$R8*F$6,2)</f>
        <v>0</v>
      </c>
      <c r="T8" s="11">
        <f>MOD($O8*G$3+$P8*G$4+$Q8*G$5+$R8*G$6,2)</f>
        <v>1</v>
      </c>
      <c r="U8" s="11">
        <f>MOD($O8*H$3+$P8*H$4+$Q8*H$5+$R8*H$6,2)</f>
        <v>0</v>
      </c>
      <c r="V8" s="11">
        <f>MOD($O8*I$3+$P8*I$4+$Q8*I$5+$R8*I$6,2)</f>
        <v>1</v>
      </c>
      <c r="W8" s="11">
        <f>MOD($O8*J$3+$P8*J$4+$Q8*J$5+$R8*J$6,2)</f>
        <v>1</v>
      </c>
      <c r="X8" s="11">
        <f>MOD($O8*K$3+$P8*K$4+$Q8*K$5+$R8*K$6,2)</f>
        <v>0</v>
      </c>
      <c r="Y8" s="11">
        <f>MOD($O8*L$3+$P8*L$4+$Q8*L$5+$R8*L$6,2)</f>
        <v>1</v>
      </c>
      <c r="Z8" s="11">
        <f>MOD($O8*M$3+$P8*M$4+$Q8*M$5+$R8*M$6,2)</f>
        <v>0</v>
      </c>
      <c r="AA8" s="12">
        <f>SUM(S8:Z8)</f>
        <v>4</v>
      </c>
      <c r="AC8" s="11">
        <f>AC7+1</f>
        <v>5</v>
      </c>
      <c r="AD8" s="15">
        <f>COUNTIF(AA$3:AA$18,"=5")</f>
        <v>0</v>
      </c>
      <c r="AF8" s="11">
        <f>AC8</f>
        <v>5</v>
      </c>
      <c r="AG8" s="11">
        <f>IF(AND(AF8=0,C$4=0),1,C$4^AF8)</f>
        <v>7.7759999999999997E-7</v>
      </c>
      <c r="AH8" s="11">
        <f>(1-C$4)^(C$2-AF8)</f>
        <v>0.83058399999999988</v>
      </c>
      <c r="AI8" s="11">
        <f>COMBIN(C$2,AF8)</f>
        <v>56</v>
      </c>
      <c r="AJ8" s="11">
        <f>AI8*AG8*AH8</f>
        <v>3.6168278630399992E-5</v>
      </c>
    </row>
    <row r="9" spans="2:37" x14ac:dyDescent="0.3">
      <c r="O9" s="10">
        <v>0</v>
      </c>
      <c r="P9" s="10">
        <v>1</v>
      </c>
      <c r="Q9" s="10">
        <v>1</v>
      </c>
      <c r="R9" s="10">
        <v>0</v>
      </c>
      <c r="S9" s="11">
        <f>MOD($O9*F$3+$P9*F$4+$Q9*F$5+$R9*F$6,2)</f>
        <v>0</v>
      </c>
      <c r="T9" s="11">
        <f>MOD($O9*G$3+$P9*G$4+$Q9*G$5+$R9*G$6,2)</f>
        <v>0</v>
      </c>
      <c r="U9" s="11">
        <f>MOD($O9*H$3+$P9*H$4+$Q9*H$5+$R9*H$6,2)</f>
        <v>1</v>
      </c>
      <c r="V9" s="11">
        <f>MOD($O9*I$3+$P9*I$4+$Q9*I$5+$R9*I$6,2)</f>
        <v>1</v>
      </c>
      <c r="W9" s="11">
        <f>MOD($O9*J$3+$P9*J$4+$Q9*J$5+$R9*J$6,2)</f>
        <v>1</v>
      </c>
      <c r="X9" s="11">
        <f>MOD($O9*K$3+$P9*K$4+$Q9*K$5+$R9*K$6,2)</f>
        <v>1</v>
      </c>
      <c r="Y9" s="11">
        <f>MOD($O9*L$3+$P9*L$4+$Q9*L$5+$R9*L$6,2)</f>
        <v>0</v>
      </c>
      <c r="Z9" s="11">
        <f>MOD($O9*M$3+$P9*M$4+$Q9*M$5+$R9*M$6,2)</f>
        <v>0</v>
      </c>
      <c r="AA9" s="12">
        <f>SUM(S9:Z9)</f>
        <v>4</v>
      </c>
      <c r="AC9" s="11">
        <f>AC8+1</f>
        <v>6</v>
      </c>
      <c r="AD9" s="15">
        <f>COUNTIF(AA$3:AA$18,"=6")</f>
        <v>0</v>
      </c>
      <c r="AF9" s="11">
        <f>AC9</f>
        <v>6</v>
      </c>
      <c r="AG9" s="11">
        <f>IF(AND(AF9=0,C$4=0),1,C$4^AF9)</f>
        <v>4.6655999999999998E-8</v>
      </c>
      <c r="AH9" s="11">
        <f>(1-C$4)^(C$2-AF9)</f>
        <v>0.88359999999999994</v>
      </c>
      <c r="AI9" s="11">
        <f>COMBIN(C$2,AF9)</f>
        <v>28</v>
      </c>
      <c r="AJ9" s="11">
        <f>AI9*AG9*AH9</f>
        <v>1.1543067647999998E-6</v>
      </c>
    </row>
    <row r="10" spans="2:37" x14ac:dyDescent="0.3">
      <c r="O10" s="10">
        <v>0</v>
      </c>
      <c r="P10" s="10">
        <v>1</v>
      </c>
      <c r="Q10" s="10">
        <v>1</v>
      </c>
      <c r="R10" s="10">
        <v>1</v>
      </c>
      <c r="S10" s="11">
        <f>MOD($O10*F$3+$P10*F$4+$Q10*F$5+$R10*F$6,2)</f>
        <v>0</v>
      </c>
      <c r="T10" s="11">
        <f>MOD($O10*G$3+$P10*G$4+$Q10*G$5+$R10*G$6,2)</f>
        <v>1</v>
      </c>
      <c r="U10" s="11">
        <f>MOD($O10*H$3+$P10*H$4+$Q10*H$5+$R10*H$6,2)</f>
        <v>1</v>
      </c>
      <c r="V10" s="11">
        <f>MOD($O10*I$3+$P10*I$4+$Q10*I$5+$R10*I$6,2)</f>
        <v>0</v>
      </c>
      <c r="W10" s="11">
        <f>MOD($O10*J$3+$P10*J$4+$Q10*J$5+$R10*J$6,2)</f>
        <v>1</v>
      </c>
      <c r="X10" s="11">
        <f>MOD($O10*K$3+$P10*K$4+$Q10*K$5+$R10*K$6,2)</f>
        <v>0</v>
      </c>
      <c r="Y10" s="11">
        <f>MOD($O10*L$3+$P10*L$4+$Q10*L$5+$R10*L$6,2)</f>
        <v>0</v>
      </c>
      <c r="Z10" s="11">
        <f>MOD($O10*M$3+$P10*M$4+$Q10*M$5+$R10*M$6,2)</f>
        <v>1</v>
      </c>
      <c r="AA10" s="12">
        <f>SUM(S10:Z10)</f>
        <v>4</v>
      </c>
      <c r="AC10" s="11">
        <f>AC9+1</f>
        <v>7</v>
      </c>
      <c r="AD10" s="15">
        <f>COUNTIF(AA$3:AA$18,"=7")</f>
        <v>0</v>
      </c>
      <c r="AF10" s="11">
        <f>AC10</f>
        <v>7</v>
      </c>
      <c r="AG10" s="11">
        <f>IF(AND(AF10=0,C$4=0),1,C$4^AF10)</f>
        <v>2.7993599999999997E-9</v>
      </c>
      <c r="AH10" s="11">
        <f>(1-C$4)^(C$2-AF10)</f>
        <v>0.94</v>
      </c>
      <c r="AI10" s="11">
        <f>COMBIN(C$2,AF10)</f>
        <v>8</v>
      </c>
      <c r="AJ10" s="11">
        <f>AI10*AG10*AH10</f>
        <v>2.1051187199999998E-8</v>
      </c>
    </row>
    <row r="11" spans="2:37" x14ac:dyDescent="0.3">
      <c r="O11" s="10">
        <v>1</v>
      </c>
      <c r="P11" s="10">
        <v>0</v>
      </c>
      <c r="Q11" s="10">
        <v>0</v>
      </c>
      <c r="R11" s="10">
        <v>0</v>
      </c>
      <c r="S11" s="11">
        <f>MOD($O11*F$3+$P11*F$4+$Q11*F$5+$R11*F$6,2)</f>
        <v>1</v>
      </c>
      <c r="T11" s="11">
        <f>MOD($O11*G$3+$P11*G$4+$Q11*G$5+$R11*G$6,2)</f>
        <v>1</v>
      </c>
      <c r="U11" s="11">
        <f>MOD($O11*H$3+$P11*H$4+$Q11*H$5+$R11*H$6,2)</f>
        <v>1</v>
      </c>
      <c r="V11" s="11">
        <f>MOD($O11*I$3+$P11*I$4+$Q11*I$5+$R11*I$6,2)</f>
        <v>1</v>
      </c>
      <c r="W11" s="11">
        <f>MOD($O11*J$3+$P11*J$4+$Q11*J$5+$R11*J$6,2)</f>
        <v>1</v>
      </c>
      <c r="X11" s="11">
        <f>MOD($O11*K$3+$P11*K$4+$Q11*K$5+$R11*K$6,2)</f>
        <v>1</v>
      </c>
      <c r="Y11" s="11">
        <f>MOD($O11*L$3+$P11*L$4+$Q11*L$5+$R11*L$6,2)</f>
        <v>1</v>
      </c>
      <c r="Z11" s="11">
        <f>MOD($O11*M$3+$P11*M$4+$Q11*M$5+$R11*M$6,2)</f>
        <v>1</v>
      </c>
      <c r="AA11" s="12">
        <f>SUM(S11:Z11)</f>
        <v>8</v>
      </c>
      <c r="AC11" s="11">
        <f>AC10+1</f>
        <v>8</v>
      </c>
      <c r="AD11" s="15">
        <f>COUNTIF(AA$3:AA$18,"=8")</f>
        <v>1</v>
      </c>
      <c r="AF11" s="11">
        <f>AC11</f>
        <v>8</v>
      </c>
      <c r="AG11" s="11">
        <f>IF(AND(AF11=0,C$4=0),1,C$4^AF11)</f>
        <v>1.679616E-10</v>
      </c>
      <c r="AH11" s="11">
        <f>(1-C$4)^(C$2-AF11)</f>
        <v>1</v>
      </c>
      <c r="AI11" s="11">
        <f>COMBIN(C$2,AF11)</f>
        <v>1</v>
      </c>
      <c r="AJ11" s="11">
        <f>AI11*AG11*AH11</f>
        <v>1.679616E-10</v>
      </c>
    </row>
    <row r="12" spans="2:37" x14ac:dyDescent="0.3">
      <c r="O12" s="10">
        <v>1</v>
      </c>
      <c r="P12" s="10">
        <v>0</v>
      </c>
      <c r="Q12" s="10">
        <v>0</v>
      </c>
      <c r="R12" s="10">
        <v>1</v>
      </c>
      <c r="S12" s="11">
        <f>MOD($O12*F$3+$P12*F$4+$Q12*F$5+$R12*F$6,2)</f>
        <v>1</v>
      </c>
      <c r="T12" s="11">
        <f>MOD($O12*G$3+$P12*G$4+$Q12*G$5+$R12*G$6,2)</f>
        <v>0</v>
      </c>
      <c r="U12" s="11">
        <f>MOD($O12*H$3+$P12*H$4+$Q12*H$5+$R12*H$6,2)</f>
        <v>1</v>
      </c>
      <c r="V12" s="11">
        <f>MOD($O12*I$3+$P12*I$4+$Q12*I$5+$R12*I$6,2)</f>
        <v>0</v>
      </c>
      <c r="W12" s="11">
        <f>MOD($O12*J$3+$P12*J$4+$Q12*J$5+$R12*J$6,2)</f>
        <v>1</v>
      </c>
      <c r="X12" s="11">
        <f>MOD($O12*K$3+$P12*K$4+$Q12*K$5+$R12*K$6,2)</f>
        <v>0</v>
      </c>
      <c r="Y12" s="11">
        <f>MOD($O12*L$3+$P12*L$4+$Q12*L$5+$R12*L$6,2)</f>
        <v>1</v>
      </c>
      <c r="Z12" s="11">
        <f>MOD($O12*M$3+$P12*M$4+$Q12*M$5+$R12*M$6,2)</f>
        <v>0</v>
      </c>
      <c r="AA12" s="12">
        <f>SUM(S12:Z12)</f>
        <v>4</v>
      </c>
      <c r="AC12" s="18" t="s">
        <v>22</v>
      </c>
      <c r="AD12" s="18">
        <f>SUM(AD3:AD11)</f>
        <v>16</v>
      </c>
    </row>
    <row r="13" spans="2:37" x14ac:dyDescent="0.3">
      <c r="O13" s="10">
        <v>1</v>
      </c>
      <c r="P13" s="10">
        <v>0</v>
      </c>
      <c r="Q13" s="10">
        <v>1</v>
      </c>
      <c r="R13" s="10">
        <v>0</v>
      </c>
      <c r="S13" s="11">
        <f>MOD($O13*F$3+$P13*F$4+$Q13*F$5+$R13*F$6,2)</f>
        <v>1</v>
      </c>
      <c r="T13" s="11">
        <f>MOD($O13*G$3+$P13*G$4+$Q13*G$5+$R13*G$6,2)</f>
        <v>1</v>
      </c>
      <c r="U13" s="11">
        <f>MOD($O13*H$3+$P13*H$4+$Q13*H$5+$R13*H$6,2)</f>
        <v>0</v>
      </c>
      <c r="V13" s="11">
        <f>MOD($O13*I$3+$P13*I$4+$Q13*I$5+$R13*I$6,2)</f>
        <v>0</v>
      </c>
      <c r="W13" s="11">
        <f>MOD($O13*J$3+$P13*J$4+$Q13*J$5+$R13*J$6,2)</f>
        <v>1</v>
      </c>
      <c r="X13" s="11">
        <f>MOD($O13*K$3+$P13*K$4+$Q13*K$5+$R13*K$6,2)</f>
        <v>1</v>
      </c>
      <c r="Y13" s="11">
        <f>MOD($O13*L$3+$P13*L$4+$Q13*L$5+$R13*L$6,2)</f>
        <v>0</v>
      </c>
      <c r="Z13" s="11">
        <f>MOD($O13*M$3+$P13*M$4+$Q13*M$5+$R13*M$6,2)</f>
        <v>0</v>
      </c>
      <c r="AA13" s="12">
        <f>SUM(S13:Z13)</f>
        <v>4</v>
      </c>
    </row>
    <row r="14" spans="2:37" x14ac:dyDescent="0.3">
      <c r="O14" s="10">
        <v>1</v>
      </c>
      <c r="P14" s="10">
        <v>0</v>
      </c>
      <c r="Q14" s="10">
        <v>1</v>
      </c>
      <c r="R14" s="10">
        <v>1</v>
      </c>
      <c r="S14" s="11">
        <f>MOD($O14*F$3+$P14*F$4+$Q14*F$5+$R14*F$6,2)</f>
        <v>1</v>
      </c>
      <c r="T14" s="11">
        <f>MOD($O14*G$3+$P14*G$4+$Q14*G$5+$R14*G$6,2)</f>
        <v>0</v>
      </c>
      <c r="U14" s="11">
        <f>MOD($O14*H$3+$P14*H$4+$Q14*H$5+$R14*H$6,2)</f>
        <v>0</v>
      </c>
      <c r="V14" s="11">
        <f>MOD($O14*I$3+$P14*I$4+$Q14*I$5+$R14*I$6,2)</f>
        <v>1</v>
      </c>
      <c r="W14" s="11">
        <f>MOD($O14*J$3+$P14*J$4+$Q14*J$5+$R14*J$6,2)</f>
        <v>1</v>
      </c>
      <c r="X14" s="11">
        <f>MOD($O14*K$3+$P14*K$4+$Q14*K$5+$R14*K$6,2)</f>
        <v>0</v>
      </c>
      <c r="Y14" s="11">
        <f>MOD($O14*L$3+$P14*L$4+$Q14*L$5+$R14*L$6,2)</f>
        <v>0</v>
      </c>
      <c r="Z14" s="11">
        <f>MOD($O14*M$3+$P14*M$4+$Q14*M$5+$R14*M$6,2)</f>
        <v>1</v>
      </c>
      <c r="AA14" s="12">
        <f>SUM(S14:Z14)</f>
        <v>4</v>
      </c>
      <c r="AC14" s="16" t="s">
        <v>9</v>
      </c>
      <c r="AD14" s="14">
        <f>_xlfn.MINIFS(AA3:AA18,AA3:AA18,"&gt;0")</f>
        <v>4</v>
      </c>
    </row>
    <row r="15" spans="2:37" x14ac:dyDescent="0.3">
      <c r="O15" s="10">
        <v>1</v>
      </c>
      <c r="P15" s="10">
        <v>1</v>
      </c>
      <c r="Q15" s="10">
        <v>0</v>
      </c>
      <c r="R15" s="10">
        <v>0</v>
      </c>
      <c r="S15" s="11">
        <f>MOD($O15*F$3+$P15*F$4+$Q15*F$5+$R15*F$6,2)</f>
        <v>1</v>
      </c>
      <c r="T15" s="11">
        <f>MOD($O15*G$3+$P15*G$4+$Q15*G$5+$R15*G$6,2)</f>
        <v>1</v>
      </c>
      <c r="U15" s="11">
        <f>MOD($O15*H$3+$P15*H$4+$Q15*H$5+$R15*H$6,2)</f>
        <v>1</v>
      </c>
      <c r="V15" s="11">
        <f>MOD($O15*I$3+$P15*I$4+$Q15*I$5+$R15*I$6,2)</f>
        <v>1</v>
      </c>
      <c r="W15" s="11">
        <f>MOD($O15*J$3+$P15*J$4+$Q15*J$5+$R15*J$6,2)</f>
        <v>0</v>
      </c>
      <c r="X15" s="11">
        <f>MOD($O15*K$3+$P15*K$4+$Q15*K$5+$R15*K$6,2)</f>
        <v>0</v>
      </c>
      <c r="Y15" s="11">
        <f>MOD($O15*L$3+$P15*L$4+$Q15*L$5+$R15*L$6,2)</f>
        <v>0</v>
      </c>
      <c r="Z15" s="11">
        <f>MOD($O15*M$3+$P15*M$4+$Q15*M$5+$R15*M$6,2)</f>
        <v>0</v>
      </c>
      <c r="AA15" s="12">
        <f>SUM(S15:Z15)</f>
        <v>4</v>
      </c>
      <c r="AC15" s="16" t="s">
        <v>10</v>
      </c>
      <c r="AD15" s="14">
        <f>AD14-1</f>
        <v>3</v>
      </c>
    </row>
    <row r="16" spans="2:37" x14ac:dyDescent="0.3">
      <c r="O16" s="10">
        <v>1</v>
      </c>
      <c r="P16" s="10">
        <v>1</v>
      </c>
      <c r="Q16" s="10">
        <v>0</v>
      </c>
      <c r="R16" s="10">
        <v>1</v>
      </c>
      <c r="S16" s="11">
        <f>MOD($O16*F$3+$P16*F$4+$Q16*F$5+$R16*F$6,2)</f>
        <v>1</v>
      </c>
      <c r="T16" s="11">
        <f>MOD($O16*G$3+$P16*G$4+$Q16*G$5+$R16*G$6,2)</f>
        <v>0</v>
      </c>
      <c r="U16" s="11">
        <f>MOD($O16*H$3+$P16*H$4+$Q16*H$5+$R16*H$6,2)</f>
        <v>1</v>
      </c>
      <c r="V16" s="11">
        <f>MOD($O16*I$3+$P16*I$4+$Q16*I$5+$R16*I$6,2)</f>
        <v>0</v>
      </c>
      <c r="W16" s="11">
        <f>MOD($O16*J$3+$P16*J$4+$Q16*J$5+$R16*J$6,2)</f>
        <v>0</v>
      </c>
      <c r="X16" s="11">
        <f>MOD($O16*K$3+$P16*K$4+$Q16*K$5+$R16*K$6,2)</f>
        <v>1</v>
      </c>
      <c r="Y16" s="11">
        <f>MOD($O16*L$3+$P16*L$4+$Q16*L$5+$R16*L$6,2)</f>
        <v>0</v>
      </c>
      <c r="Z16" s="11">
        <f>MOD($O16*M$3+$P16*M$4+$Q16*M$5+$R16*M$6,2)</f>
        <v>1</v>
      </c>
      <c r="AA16" s="12">
        <f>SUM(S16:Z16)</f>
        <v>4</v>
      </c>
      <c r="AC16" s="16" t="s">
        <v>11</v>
      </c>
      <c r="AD16" s="14">
        <f>INT((AD14-1)/2)</f>
        <v>1</v>
      </c>
    </row>
    <row r="17" spans="15:27" x14ac:dyDescent="0.3">
      <c r="O17" s="10">
        <v>1</v>
      </c>
      <c r="P17" s="10">
        <v>1</v>
      </c>
      <c r="Q17" s="10">
        <v>1</v>
      </c>
      <c r="R17" s="10">
        <v>0</v>
      </c>
      <c r="S17" s="11">
        <f>MOD($O17*F$3+$P17*F$4+$Q17*F$5+$R17*F$6,2)</f>
        <v>1</v>
      </c>
      <c r="T17" s="11">
        <f>MOD($O17*G$3+$P17*G$4+$Q17*G$5+$R17*G$6,2)</f>
        <v>1</v>
      </c>
      <c r="U17" s="11">
        <f>MOD($O17*H$3+$P17*H$4+$Q17*H$5+$R17*H$6,2)</f>
        <v>0</v>
      </c>
      <c r="V17" s="11">
        <f>MOD($O17*I$3+$P17*I$4+$Q17*I$5+$R17*I$6,2)</f>
        <v>0</v>
      </c>
      <c r="W17" s="11">
        <f>MOD($O17*J$3+$P17*J$4+$Q17*J$5+$R17*J$6,2)</f>
        <v>0</v>
      </c>
      <c r="X17" s="11">
        <f>MOD($O17*K$3+$P17*K$4+$Q17*K$5+$R17*K$6,2)</f>
        <v>0</v>
      </c>
      <c r="Y17" s="11">
        <f>MOD($O17*L$3+$P17*L$4+$Q17*L$5+$R17*L$6,2)</f>
        <v>1</v>
      </c>
      <c r="Z17" s="11">
        <f>MOD($O17*M$3+$P17*M$4+$Q17*M$5+$R17*M$6,2)</f>
        <v>1</v>
      </c>
      <c r="AA17" s="12">
        <f>SUM(S17:Z17)</f>
        <v>4</v>
      </c>
    </row>
    <row r="18" spans="15:27" x14ac:dyDescent="0.3">
      <c r="O18" s="10">
        <v>1</v>
      </c>
      <c r="P18" s="10">
        <v>1</v>
      </c>
      <c r="Q18" s="10">
        <v>1</v>
      </c>
      <c r="R18" s="10">
        <v>1</v>
      </c>
      <c r="S18" s="11">
        <f>MOD($O18*F$3+$P18*F$4+$Q18*F$5+$R18*F$6,2)</f>
        <v>1</v>
      </c>
      <c r="T18" s="11">
        <f>MOD($O18*G$3+$P18*G$4+$Q18*G$5+$R18*G$6,2)</f>
        <v>0</v>
      </c>
      <c r="U18" s="11">
        <f>MOD($O18*H$3+$P18*H$4+$Q18*H$5+$R18*H$6,2)</f>
        <v>0</v>
      </c>
      <c r="V18" s="11">
        <f>MOD($O18*I$3+$P18*I$4+$Q18*I$5+$R18*I$6,2)</f>
        <v>1</v>
      </c>
      <c r="W18" s="11">
        <f>MOD($O18*J$3+$P18*J$4+$Q18*J$5+$R18*J$6,2)</f>
        <v>0</v>
      </c>
      <c r="X18" s="11">
        <f>MOD($O18*K$3+$P18*K$4+$Q18*K$5+$R18*K$6,2)</f>
        <v>1</v>
      </c>
      <c r="Y18" s="11">
        <f>MOD($O18*L$3+$P18*L$4+$Q18*L$5+$R18*L$6,2)</f>
        <v>1</v>
      </c>
      <c r="Z18" s="11">
        <f>MOD($O18*M$3+$P18*M$4+$Q18*M$5+$R18*M$6,2)</f>
        <v>0</v>
      </c>
      <c r="AA18" s="12">
        <f>SUM(S18:Z18)</f>
        <v>4</v>
      </c>
    </row>
  </sheetData>
  <mergeCells count="2">
    <mergeCell ref="O2:R2"/>
    <mergeCell ref="S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Враженко</dc:creator>
  <cp:lastModifiedBy>Даниил Враженко</cp:lastModifiedBy>
  <dcterms:created xsi:type="dcterms:W3CDTF">2015-06-05T18:17:20Z</dcterms:created>
  <dcterms:modified xsi:type="dcterms:W3CDTF">2026-10-13T08:47:11Z</dcterms:modified>
</cp:coreProperties>
</file>